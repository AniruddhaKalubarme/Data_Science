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ru\Documents\Programmming\Jupyter\L&amp;T\"/>
    </mc:Choice>
  </mc:AlternateContent>
  <xr:revisionPtr revIDLastSave="0" documentId="8_{5EC18CF2-4B0C-48A3-812C-CCE7CFF539C6}" xr6:coauthVersionLast="47" xr6:coauthVersionMax="47" xr10:uidLastSave="{00000000-0000-0000-0000-000000000000}"/>
  <bookViews>
    <workbookView xWindow="-120" yWindow="-120" windowWidth="25440" windowHeight="15990" xr2:uid="{6011D187-36A7-4D8B-BB1C-D4A7668EB8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1" l="1"/>
  <c r="I14" i="1"/>
  <c r="I15" i="1"/>
  <c r="I16" i="1"/>
  <c r="I17" i="1"/>
  <c r="I12" i="1"/>
  <c r="H13" i="1"/>
  <c r="H14" i="1"/>
  <c r="H15" i="1"/>
  <c r="H16" i="1"/>
  <c r="H17" i="1"/>
  <c r="H12" i="1"/>
  <c r="D34" i="1"/>
  <c r="D33" i="1"/>
  <c r="D3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2" i="1"/>
  <c r="A32" i="1"/>
</calcChain>
</file>

<file path=xl/sharedStrings.xml><?xml version="1.0" encoding="utf-8"?>
<sst xmlns="http://schemas.openxmlformats.org/spreadsheetml/2006/main" count="10" uniqueCount="10">
  <si>
    <t>x</t>
  </si>
  <si>
    <t>x̄</t>
  </si>
  <si>
    <t>x-x̄</t>
  </si>
  <si>
    <t>(x-x̄)²</t>
  </si>
  <si>
    <t>Sum</t>
  </si>
  <si>
    <t>Varience</t>
  </si>
  <si>
    <t>S.D.</t>
  </si>
  <si>
    <t>Percentile</t>
  </si>
  <si>
    <t>K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</si>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</sst>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A4DF1-B922-4455-926C-B006F356810E}">
  <dimension ref="A1:I34"/>
  <sheetViews>
    <sheetView tabSelected="1" workbookViewId="0">
      <selection activeCell="P5" sqref="P5"/>
    </sheetView>
  </sheetViews>
  <sheetFormatPr defaultRowHeight="15" x14ac:dyDescent="0.25"/>
  <cols>
    <col min="7" max="7" width="10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9" x14ac:dyDescent="0.25">
      <c r="A2" s="3">
        <v>78</v>
      </c>
      <c r="B2" s="3">
        <f>(2386/30)</f>
        <v>79.533333333333331</v>
      </c>
      <c r="C2" s="3">
        <f>(A2-B2)</f>
        <v>-1.5333333333333314</v>
      </c>
      <c r="D2" s="3">
        <f>(C2*C2)</f>
        <v>2.3511111111111052</v>
      </c>
    </row>
    <row r="3" spans="1:9" x14ac:dyDescent="0.25">
      <c r="A3" s="3">
        <v>64</v>
      </c>
      <c r="B3" s="3">
        <f t="shared" ref="B3:B31" si="0">(2386/30)</f>
        <v>79.533333333333331</v>
      </c>
      <c r="C3" s="3">
        <f t="shared" ref="C3:C31" si="1">(A3-B3)</f>
        <v>-15.533333333333331</v>
      </c>
      <c r="D3" s="3">
        <f t="shared" ref="D3:D31" si="2">(C3*C3)</f>
        <v>241.28444444444438</v>
      </c>
    </row>
    <row r="4" spans="1:9" x14ac:dyDescent="0.25">
      <c r="A4" s="3">
        <v>91</v>
      </c>
      <c r="B4" s="3">
        <f t="shared" si="0"/>
        <v>79.533333333333331</v>
      </c>
      <c r="C4" s="3">
        <f t="shared" si="1"/>
        <v>11.466666666666669</v>
      </c>
      <c r="D4" s="3">
        <f t="shared" si="2"/>
        <v>131.48444444444448</v>
      </c>
    </row>
    <row r="5" spans="1:9" x14ac:dyDescent="0.25">
      <c r="A5" s="3">
        <v>83</v>
      </c>
      <c r="B5" s="3">
        <f t="shared" si="0"/>
        <v>79.533333333333331</v>
      </c>
      <c r="C5" s="3">
        <f t="shared" si="1"/>
        <v>3.4666666666666686</v>
      </c>
      <c r="D5" s="3">
        <f t="shared" si="2"/>
        <v>12.017777777777791</v>
      </c>
    </row>
    <row r="6" spans="1:9" x14ac:dyDescent="0.25">
      <c r="A6" s="3">
        <v>69</v>
      </c>
      <c r="B6" s="3">
        <f t="shared" si="0"/>
        <v>79.533333333333331</v>
      </c>
      <c r="C6" s="3">
        <f t="shared" si="1"/>
        <v>-10.533333333333331</v>
      </c>
      <c r="D6" s="3">
        <f t="shared" si="2"/>
        <v>110.95111111111108</v>
      </c>
    </row>
    <row r="7" spans="1:9" x14ac:dyDescent="0.25">
      <c r="A7" s="3">
        <v>97</v>
      </c>
      <c r="B7" s="3">
        <f t="shared" si="0"/>
        <v>79.533333333333331</v>
      </c>
      <c r="C7" s="3">
        <f t="shared" si="1"/>
        <v>17.466666666666669</v>
      </c>
      <c r="D7" s="3">
        <f t="shared" si="2"/>
        <v>305.0844444444445</v>
      </c>
    </row>
    <row r="8" spans="1:9" x14ac:dyDescent="0.25">
      <c r="A8" s="3">
        <v>72</v>
      </c>
      <c r="B8" s="3">
        <f t="shared" si="0"/>
        <v>79.533333333333331</v>
      </c>
      <c r="C8" s="3">
        <f t="shared" si="1"/>
        <v>-7.5333333333333314</v>
      </c>
      <c r="D8" s="3">
        <f t="shared" si="2"/>
        <v>56.751111111111079</v>
      </c>
    </row>
    <row r="9" spans="1:9" x14ac:dyDescent="0.25">
      <c r="A9" s="3">
        <v>88</v>
      </c>
      <c r="B9" s="3">
        <f t="shared" si="0"/>
        <v>79.533333333333331</v>
      </c>
      <c r="C9" s="3">
        <f t="shared" si="1"/>
        <v>8.4666666666666686</v>
      </c>
      <c r="D9" s="3">
        <f t="shared" si="2"/>
        <v>71.68444444444448</v>
      </c>
    </row>
    <row r="10" spans="1:9" x14ac:dyDescent="0.25">
      <c r="A10" s="3">
        <v>61</v>
      </c>
      <c r="B10" s="3">
        <f t="shared" si="0"/>
        <v>79.533333333333331</v>
      </c>
      <c r="C10" s="3">
        <f t="shared" si="1"/>
        <v>-18.533333333333331</v>
      </c>
      <c r="D10" s="3">
        <f t="shared" si="2"/>
        <v>343.48444444444436</v>
      </c>
    </row>
    <row r="11" spans="1:9" x14ac:dyDescent="0.25">
      <c r="A11" s="3">
        <v>75</v>
      </c>
      <c r="B11" s="3">
        <f t="shared" si="0"/>
        <v>79.533333333333331</v>
      </c>
      <c r="C11" s="3">
        <f t="shared" si="1"/>
        <v>-4.5333333333333314</v>
      </c>
      <c r="D11" s="3">
        <f t="shared" si="2"/>
        <v>20.551111111111094</v>
      </c>
      <c r="G11" s="7" t="s">
        <v>7</v>
      </c>
      <c r="H11" s="7" t="s">
        <v>8</v>
      </c>
      <c r="I11" s="7" t="s">
        <v>9</v>
      </c>
    </row>
    <row r="12" spans="1:9" x14ac:dyDescent="0.25">
      <c r="A12" s="3">
        <v>94</v>
      </c>
      <c r="B12" s="3">
        <f t="shared" si="0"/>
        <v>79.533333333333331</v>
      </c>
      <c r="C12" s="3">
        <f t="shared" si="1"/>
        <v>14.466666666666669</v>
      </c>
      <c r="D12" s="3">
        <f t="shared" si="2"/>
        <v>209.28444444444449</v>
      </c>
      <c r="G12" s="7">
        <v>20</v>
      </c>
      <c r="H12" s="7">
        <f>(G12/100)</f>
        <v>0.2</v>
      </c>
      <c r="I12" s="7">
        <f>_xlfn.PERCENTILE.INC(A2:A31, H12)</f>
        <v>67.8</v>
      </c>
    </row>
    <row r="13" spans="1:9" x14ac:dyDescent="0.25">
      <c r="A13" s="3">
        <v>67</v>
      </c>
      <c r="B13" s="3">
        <f t="shared" si="0"/>
        <v>79.533333333333331</v>
      </c>
      <c r="C13" s="3">
        <f t="shared" si="1"/>
        <v>-12.533333333333331</v>
      </c>
      <c r="D13" s="3">
        <f t="shared" si="2"/>
        <v>157.08444444444439</v>
      </c>
      <c r="G13" s="7">
        <v>40</v>
      </c>
      <c r="H13" s="7">
        <f t="shared" ref="H13:H17" si="3">(G13/100)</f>
        <v>0.4</v>
      </c>
      <c r="I13" s="7">
        <f t="shared" ref="I13:I17" si="4">_xlfn.PERCENTILE.INC(A3:A32, H13)</f>
        <v>74.599999999999994</v>
      </c>
    </row>
    <row r="14" spans="1:9" x14ac:dyDescent="0.25">
      <c r="A14" s="3">
        <v>80</v>
      </c>
      <c r="B14" s="3">
        <f t="shared" si="0"/>
        <v>79.533333333333331</v>
      </c>
      <c r="C14" s="3">
        <f t="shared" si="1"/>
        <v>0.46666666666666856</v>
      </c>
      <c r="D14" s="3">
        <f t="shared" si="2"/>
        <v>0.21777777777777954</v>
      </c>
      <c r="G14" s="7">
        <v>50</v>
      </c>
      <c r="H14" s="7">
        <f t="shared" si="3"/>
        <v>0.5</v>
      </c>
      <c r="I14" s="7">
        <f t="shared" si="4"/>
        <v>80</v>
      </c>
    </row>
    <row r="15" spans="1:9" x14ac:dyDescent="0.25">
      <c r="A15" s="3">
        <v>99</v>
      </c>
      <c r="B15" s="3">
        <f t="shared" si="0"/>
        <v>79.533333333333331</v>
      </c>
      <c r="C15" s="3">
        <f t="shared" si="1"/>
        <v>19.466666666666669</v>
      </c>
      <c r="D15" s="3">
        <f t="shared" si="2"/>
        <v>378.95111111111117</v>
      </c>
      <c r="G15" s="7">
        <v>60</v>
      </c>
      <c r="H15" s="7">
        <f t="shared" si="3"/>
        <v>0.6</v>
      </c>
      <c r="I15" s="7">
        <f t="shared" si="4"/>
        <v>83.4</v>
      </c>
    </row>
    <row r="16" spans="1:9" x14ac:dyDescent="0.25">
      <c r="A16" s="3">
        <v>73</v>
      </c>
      <c r="B16" s="3">
        <f t="shared" si="0"/>
        <v>79.533333333333331</v>
      </c>
      <c r="C16" s="3">
        <f t="shared" si="1"/>
        <v>-6.5333333333333314</v>
      </c>
      <c r="D16" s="3">
        <f t="shared" si="2"/>
        <v>42.684444444444416</v>
      </c>
      <c r="G16" s="7">
        <v>80</v>
      </c>
      <c r="H16" s="7">
        <f t="shared" si="3"/>
        <v>0.8</v>
      </c>
      <c r="I16" s="7">
        <f t="shared" si="4"/>
        <v>93.8</v>
      </c>
    </row>
    <row r="17" spans="1:9" x14ac:dyDescent="0.25">
      <c r="A17" s="3">
        <v>85</v>
      </c>
      <c r="B17" s="3">
        <f t="shared" si="0"/>
        <v>79.533333333333331</v>
      </c>
      <c r="C17" s="3">
        <f t="shared" si="1"/>
        <v>5.4666666666666686</v>
      </c>
      <c r="D17" s="3">
        <f t="shared" si="2"/>
        <v>29.884444444444465</v>
      </c>
      <c r="G17" s="7">
        <v>100</v>
      </c>
      <c r="H17" s="7">
        <f t="shared" si="3"/>
        <v>1</v>
      </c>
      <c r="I17" s="7">
        <f t="shared" si="4"/>
        <v>2386</v>
      </c>
    </row>
    <row r="18" spans="1:9" x14ac:dyDescent="0.25">
      <c r="A18" s="3">
        <v>62</v>
      </c>
      <c r="B18" s="3">
        <f t="shared" si="0"/>
        <v>79.533333333333331</v>
      </c>
      <c r="C18" s="3">
        <f t="shared" si="1"/>
        <v>-17.533333333333331</v>
      </c>
      <c r="D18" s="3">
        <f t="shared" si="2"/>
        <v>307.4177777777777</v>
      </c>
    </row>
    <row r="19" spans="1:9" x14ac:dyDescent="0.25">
      <c r="A19" s="3">
        <v>90</v>
      </c>
      <c r="B19" s="3">
        <f t="shared" si="0"/>
        <v>79.533333333333331</v>
      </c>
      <c r="C19" s="3">
        <f t="shared" si="1"/>
        <v>10.466666666666669</v>
      </c>
      <c r="D19" s="3">
        <f t="shared" si="2"/>
        <v>109.55111111111115</v>
      </c>
    </row>
    <row r="20" spans="1:9" x14ac:dyDescent="0.25">
      <c r="A20" s="3">
        <v>71</v>
      </c>
      <c r="B20" s="3">
        <f t="shared" si="0"/>
        <v>79.533333333333331</v>
      </c>
      <c r="C20" s="3">
        <f t="shared" si="1"/>
        <v>-8.5333333333333314</v>
      </c>
      <c r="D20" s="3">
        <f t="shared" si="2"/>
        <v>72.817777777777749</v>
      </c>
    </row>
    <row r="21" spans="1:9" x14ac:dyDescent="0.25">
      <c r="A21" s="3">
        <v>96</v>
      </c>
      <c r="B21" s="3">
        <f t="shared" si="0"/>
        <v>79.533333333333331</v>
      </c>
      <c r="C21" s="3">
        <f t="shared" si="1"/>
        <v>16.466666666666669</v>
      </c>
      <c r="D21" s="3">
        <f t="shared" si="2"/>
        <v>271.15111111111116</v>
      </c>
    </row>
    <row r="22" spans="1:9" x14ac:dyDescent="0.25">
      <c r="A22" s="3">
        <v>66</v>
      </c>
      <c r="B22" s="3">
        <f t="shared" si="0"/>
        <v>79.533333333333331</v>
      </c>
      <c r="C22" s="3">
        <f t="shared" si="1"/>
        <v>-13.533333333333331</v>
      </c>
      <c r="D22" s="3">
        <f t="shared" si="2"/>
        <v>183.15111111111105</v>
      </c>
    </row>
    <row r="23" spans="1:9" x14ac:dyDescent="0.25">
      <c r="A23" s="3">
        <v>82</v>
      </c>
      <c r="B23" s="3">
        <f t="shared" si="0"/>
        <v>79.533333333333331</v>
      </c>
      <c r="C23" s="3">
        <f t="shared" si="1"/>
        <v>2.4666666666666686</v>
      </c>
      <c r="D23" s="3">
        <f t="shared" si="2"/>
        <v>6.0844444444444541</v>
      </c>
    </row>
    <row r="24" spans="1:9" x14ac:dyDescent="0.25">
      <c r="A24" s="3">
        <v>77</v>
      </c>
      <c r="B24" s="3">
        <f t="shared" si="0"/>
        <v>79.533333333333331</v>
      </c>
      <c r="C24" s="3">
        <f t="shared" si="1"/>
        <v>-2.5333333333333314</v>
      </c>
      <c r="D24" s="3">
        <f t="shared" si="2"/>
        <v>6.4177777777777685</v>
      </c>
    </row>
    <row r="25" spans="1:9" x14ac:dyDescent="0.25">
      <c r="A25" s="3">
        <v>93</v>
      </c>
      <c r="B25" s="3">
        <f t="shared" si="0"/>
        <v>79.533333333333331</v>
      </c>
      <c r="C25" s="3">
        <f t="shared" si="1"/>
        <v>13.466666666666669</v>
      </c>
      <c r="D25" s="3">
        <f t="shared" si="2"/>
        <v>181.35111111111115</v>
      </c>
    </row>
    <row r="26" spans="1:9" x14ac:dyDescent="0.25">
      <c r="A26" s="3">
        <v>68</v>
      </c>
      <c r="B26" s="3">
        <f t="shared" si="0"/>
        <v>79.533333333333331</v>
      </c>
      <c r="C26" s="3">
        <f t="shared" si="1"/>
        <v>-11.533333333333331</v>
      </c>
      <c r="D26" s="3">
        <f t="shared" si="2"/>
        <v>133.01777777777772</v>
      </c>
    </row>
    <row r="27" spans="1:9" x14ac:dyDescent="0.25">
      <c r="A27" s="3">
        <v>87</v>
      </c>
      <c r="B27" s="3">
        <f t="shared" si="0"/>
        <v>79.533333333333331</v>
      </c>
      <c r="C27" s="3">
        <f t="shared" si="1"/>
        <v>7.4666666666666686</v>
      </c>
      <c r="D27" s="3">
        <f t="shared" si="2"/>
        <v>55.751111111111136</v>
      </c>
    </row>
    <row r="28" spans="1:9" x14ac:dyDescent="0.25">
      <c r="A28" s="3">
        <v>74</v>
      </c>
      <c r="B28" s="3">
        <f t="shared" si="0"/>
        <v>79.533333333333331</v>
      </c>
      <c r="C28" s="3">
        <f t="shared" si="1"/>
        <v>-5.5333333333333314</v>
      </c>
      <c r="D28" s="3">
        <f t="shared" si="2"/>
        <v>30.617777777777757</v>
      </c>
    </row>
    <row r="29" spans="1:9" x14ac:dyDescent="0.25">
      <c r="A29" s="3">
        <v>100</v>
      </c>
      <c r="B29" s="3">
        <f t="shared" si="0"/>
        <v>79.533333333333331</v>
      </c>
      <c r="C29" s="3">
        <f t="shared" si="1"/>
        <v>20.466666666666669</v>
      </c>
      <c r="D29" s="3">
        <f t="shared" si="2"/>
        <v>418.88444444444451</v>
      </c>
    </row>
    <row r="30" spans="1:9" x14ac:dyDescent="0.25">
      <c r="A30" s="3">
        <v>79</v>
      </c>
      <c r="B30" s="3">
        <f t="shared" si="0"/>
        <v>79.533333333333331</v>
      </c>
      <c r="C30" s="3">
        <f t="shared" si="1"/>
        <v>-0.53333333333333144</v>
      </c>
      <c r="D30" s="3">
        <f t="shared" si="2"/>
        <v>0.28444444444444245</v>
      </c>
    </row>
    <row r="31" spans="1:9" x14ac:dyDescent="0.25">
      <c r="A31" s="3">
        <v>65</v>
      </c>
      <c r="B31" s="3">
        <f t="shared" si="0"/>
        <v>79.533333333333331</v>
      </c>
      <c r="C31" s="3">
        <f t="shared" si="1"/>
        <v>-14.533333333333331</v>
      </c>
      <c r="D31" s="3">
        <f t="shared" si="2"/>
        <v>211.21777777777771</v>
      </c>
    </row>
    <row r="32" spans="1:9" x14ac:dyDescent="0.25">
      <c r="A32" s="4">
        <f>SUM(A2:A31)</f>
        <v>2386</v>
      </c>
      <c r="C32" s="5" t="s">
        <v>4</v>
      </c>
      <c r="D32" s="6">
        <f>SUM(D2:D31)</f>
        <v>4101.4666666666672</v>
      </c>
    </row>
    <row r="33" spans="3:4" x14ac:dyDescent="0.25">
      <c r="C33" s="5" t="s">
        <v>5</v>
      </c>
      <c r="D33" s="6">
        <f>(D32/30)</f>
        <v>136.71555555555557</v>
      </c>
    </row>
    <row r="34" spans="3:4" x14ac:dyDescent="0.25">
      <c r="C34" s="5" t="s">
        <v>6</v>
      </c>
      <c r="D34" s="6">
        <f>SQRT(D33)</f>
        <v>11.692542732680328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Aniruddha Kalubarme</dc:creator>
  <cp:lastModifiedBy>Aniruddha Kalubarme</cp:lastModifiedBy>
  <dcterms:created xsi:type="dcterms:W3CDTF">2026-07-12T13:05:01Z</dcterms:created>
  <dcterms:modified xsi:type="dcterms:W3CDTF">2026-07-12T13:28:57Z</dcterms:modified>
</cp:coreProperties>
</file>